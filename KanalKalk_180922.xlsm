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_Data\Physics\AutoBalance\KanalKalk\"/>
    </mc:Choice>
  </mc:AlternateContent>
  <xr:revisionPtr revIDLastSave="0" documentId="13_ncr:1_{4188DC70-422F-4F18-BF76-AB785CCEDB54}" xr6:coauthVersionLast="36" xr6:coauthVersionMax="36" xr10:uidLastSave="{00000000-0000-0000-0000-000000000000}"/>
  <bookViews>
    <workbookView xWindow="360" yWindow="30" windowWidth="15480" windowHeight="11640" xr2:uid="{00000000-000D-0000-FFFF-FFFF00000000}"/>
  </bookViews>
  <sheets>
    <sheet name="KanalKalk" sheetId="2" r:id="rId1"/>
  </sheets>
  <functionGroups builtInGroupCount="19"/>
  <definedNames>
    <definedName name="exh_design_ls">KanalKalk!$J:$J</definedName>
    <definedName name="exh_design_m3h">KanalKalk!$B:$B</definedName>
    <definedName name="exh_dia">KanalKalk!$E:$E</definedName>
    <definedName name="exh_dPa">KanalKalk!$O:$O</definedName>
    <definedName name="exh_height">KanalKalk!$D:$D</definedName>
    <definedName name="exh_Kfactor">KanalKalk!$H:$H</definedName>
    <definedName name="exh_len">KanalKalk!$F:$F</definedName>
    <definedName name="exh_paATD">KanalKalk!$N:$N</definedName>
    <definedName name="exh_papm">KanalKalk!$L:$L</definedName>
    <definedName name="exh_PaSpecified">KanalKalk!$I:$I</definedName>
    <definedName name="exh_paZeta">KanalKalk!$M:$M</definedName>
    <definedName name="exh_vel">KanalKalk!$K:$K</definedName>
    <definedName name="exh_Width">KanalKalk!$C:$C</definedName>
    <definedName name="exh_zeta">KanalKalk!$G:$G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G. Schild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Dimensjonene på dette kanalstrekket.
- </t>
        </r>
        <r>
          <rPr>
            <u/>
            <sz val="9"/>
            <color indexed="81"/>
            <rFont val="Tahoma"/>
            <family val="2"/>
          </rPr>
          <t>Rektangulære</t>
        </r>
        <r>
          <rPr>
            <sz val="9"/>
            <color indexed="81"/>
            <rFont val="Tahoma"/>
            <family val="2"/>
          </rPr>
          <t xml:space="preserve"> kanaler: Fyll inn Bredde og Høyde (ikke Diameter)
- </t>
        </r>
        <r>
          <rPr>
            <u/>
            <sz val="9"/>
            <color indexed="81"/>
            <rFont val="Tahoma"/>
            <family val="2"/>
          </rPr>
          <t>Runde</t>
        </r>
        <r>
          <rPr>
            <sz val="9"/>
            <color indexed="81"/>
            <rFont val="Tahoma"/>
            <family val="2"/>
          </rPr>
          <t xml:space="preserve"> kanaler: Fyll inn Diameter (ikke Bredde eller Høyde)
- </t>
        </r>
        <r>
          <rPr>
            <u/>
            <sz val="9"/>
            <color indexed="81"/>
            <rFont val="Tahoma"/>
            <family val="2"/>
          </rPr>
          <t>Ovale</t>
        </r>
        <r>
          <rPr>
            <sz val="9"/>
            <color indexed="81"/>
            <rFont val="Tahoma"/>
            <family val="2"/>
          </rPr>
          <t xml:space="preserve"> kanaler: Fyll inn Bredde, Høyde, og Diameter</t>
        </r>
      </text>
    </comment>
    <comment ref="G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Det er tre alternative måter å spesifisere trykkfallet over komponenter i kanalstrekket:
</t>
        </r>
        <r>
          <rPr>
            <b/>
            <sz val="9"/>
            <color indexed="12"/>
            <rFont val="Tahoma"/>
            <family val="2"/>
          </rPr>
          <t xml:space="preserve"> (1) støttapskoeffisient
 (2) k-faktor
 (3) kjent trykkfall
</t>
        </r>
        <r>
          <rPr>
            <b/>
            <sz val="9"/>
            <color indexed="81"/>
            <rFont val="Tahoma"/>
            <family val="2"/>
          </rPr>
          <t>Du kan bruke alle tre alternativer på samme kanalstrekk, men hver
kanalkomponent (f.eks. ventil, bend) skal spesifiseres i bare én av kolonnene.</t>
        </r>
      </text>
    </comment>
    <comment ref="J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Disse kolonner beregnes av makroen.
Tast CTRL+B for å kjøre makroen.</t>
        </r>
      </text>
    </comment>
    <comment ref="A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Kode på kanalstrekket.
</t>
        </r>
        <r>
          <rPr>
            <sz val="9"/>
            <color indexed="81"/>
            <rFont val="Tahoma"/>
            <family val="2"/>
          </rPr>
          <t>En kanalstrekk er en strekk av kanal med konstant diameter mellom to noder
(f.eks. avgreninger med T-stykker, eller kanaldeler for reduksjon av diameter)</t>
        </r>
        <r>
          <rPr>
            <b/>
            <sz val="9"/>
            <color indexed="81"/>
            <rFont val="Tahoma"/>
            <family val="2"/>
          </rPr>
          <t xml:space="preserve">.
</t>
        </r>
        <r>
          <rPr>
            <i/>
            <sz val="9"/>
            <color indexed="81"/>
            <rFont val="Tahoma"/>
            <family val="2"/>
          </rPr>
          <t>Denne kolonnen er opsjonell, kan stå tom.</t>
        </r>
      </text>
    </comment>
    <comment ref="B2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Luftmengde i dette kanalstrekk [m³ per time]</t>
        </r>
      </text>
    </comment>
    <comment ref="C2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 xml:space="preserve">Bredde av rektangulær kanal [mm].
Denne kolonnen fylles ut bare for
rektangulære eller flate ovale kanaler.
</t>
        </r>
        <r>
          <rPr>
            <sz val="9"/>
            <color indexed="81"/>
            <rFont val="Tahoma"/>
            <family val="2"/>
          </rPr>
          <t>(Hver kanalstrekk har konstant tverrsnitt.)</t>
        </r>
      </text>
    </comment>
    <comment ref="D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Høyde av rektangulær kanal [mm].
Denne kolonnen fylles ut bare for rektangulære kanaler.
</t>
        </r>
        <r>
          <rPr>
            <sz val="9"/>
            <color indexed="81"/>
            <rFont val="Tahoma"/>
            <family val="2"/>
          </rPr>
          <t>(Hver kanalstrekk har konstant tverrsnitt.)</t>
        </r>
      </text>
    </comment>
    <comment ref="E2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Diameter av runde eller flate ovale kanaler [mm].
</t>
        </r>
        <r>
          <rPr>
            <sz val="9"/>
            <color indexed="81"/>
            <rFont val="Tahoma"/>
            <family val="2"/>
          </rPr>
          <t>(Hver kanalstrekk har konstant kanaldiameter.)</t>
        </r>
      </text>
    </comment>
    <comment ref="F2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Lengde på kanalstrekket [m]</t>
        </r>
      </text>
    </comment>
    <comment ref="G2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 xml:space="preserve">Summen av støttapskoeffisientene for alle kanaldelene (f.eks. bend, T-stykke, diameter-
reduksjon) på dette kanalstrekket.  Dette er også kjent som Zeta-verdi (ζ).
</t>
        </r>
        <r>
          <rPr>
            <sz val="9"/>
            <color indexed="81"/>
            <rFont val="Tahoma"/>
            <family val="2"/>
          </rPr>
          <t xml:space="preserve">
Trykkfall pga. støttap i kanalstrekket </t>
        </r>
        <r>
          <rPr>
            <sz val="9"/>
            <color indexed="10"/>
            <rFont val="Tahoma"/>
            <family val="2"/>
          </rPr>
          <t>[Pa]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10"/>
            <rFont val="Tahoma"/>
            <family val="2"/>
          </rPr>
          <t>½</t>
        </r>
        <r>
          <rPr>
            <sz val="9"/>
            <color indexed="81"/>
            <rFont val="Tahoma"/>
            <family val="2"/>
          </rPr>
          <t xml:space="preserve"> · </t>
        </r>
        <r>
          <rPr>
            <sz val="9"/>
            <color indexed="10"/>
            <rFont val="Tahoma"/>
            <family val="2"/>
          </rPr>
          <t>∑(ζ)</t>
        </r>
        <r>
          <rPr>
            <sz val="9"/>
            <color indexed="81"/>
            <rFont val="Tahoma"/>
            <family val="2"/>
          </rPr>
          <t xml:space="preserve"> · </t>
        </r>
        <r>
          <rPr>
            <sz val="9"/>
            <color indexed="10"/>
            <rFont val="Tahoma"/>
            <family val="2"/>
          </rPr>
          <t xml:space="preserve">ρ </t>
        </r>
        <r>
          <rPr>
            <sz val="9"/>
            <color indexed="81"/>
            <rFont val="Tahoma"/>
            <family val="2"/>
          </rPr>
          <t>·</t>
        </r>
        <r>
          <rPr>
            <sz val="9"/>
            <color indexed="10"/>
            <rFont val="Tahoma"/>
            <family val="2"/>
          </rPr>
          <t xml:space="preserve"> v²</t>
        </r>
        <r>
          <rPr>
            <sz val="9"/>
            <color indexed="81"/>
            <rFont val="Tahoma"/>
            <family val="2"/>
          </rPr>
          <t xml:space="preserve">
hvor:
</t>
        </r>
        <r>
          <rPr>
            <sz val="9"/>
            <color indexed="10"/>
            <rFont val="Tahoma"/>
            <family val="2"/>
          </rPr>
          <t>∑(ζ)</t>
        </r>
        <r>
          <rPr>
            <sz val="9"/>
            <color indexed="81"/>
            <rFont val="Tahoma"/>
            <family val="2"/>
          </rPr>
          <t xml:space="preserve"> = Summen av støttapskoeffisienter (zeta-verdier) for alle komponentene på kanalstrekket.
</t>
        </r>
        <r>
          <rPr>
            <sz val="9"/>
            <color indexed="10"/>
            <rFont val="Tahoma"/>
            <family val="2"/>
          </rPr>
          <t>ρ</t>
        </r>
        <r>
          <rPr>
            <sz val="9"/>
            <color indexed="81"/>
            <rFont val="Tahoma"/>
            <family val="2"/>
          </rPr>
          <t xml:space="preserve"> = luftens tetthet  [kg/m³]
</t>
        </r>
        <r>
          <rPr>
            <sz val="9"/>
            <color indexed="10"/>
            <rFont val="Tahoma"/>
            <family val="2"/>
          </rPr>
          <t>v</t>
        </r>
        <r>
          <rPr>
            <sz val="9"/>
            <color indexed="81"/>
            <rFont val="Tahoma"/>
            <family val="2"/>
          </rPr>
          <t xml:space="preserve"> = lufthastighet i kanalen [m/s]
Denne kolonnen er valgfri. Den kan stå tom hvis du heller vil spesifisere komponentene
som k-faktor og/eller kjent trykkfall, eller hvis kanalstrekket ikke har komponenter med støttap.
</t>
        </r>
        <r>
          <rPr>
            <b/>
            <sz val="9"/>
            <color indexed="81"/>
            <rFont val="Tahoma"/>
            <family val="2"/>
          </rPr>
          <t>Følgende funksjoner er tilgjengelige for automatisk beregning av zeta verdi: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Courier New"/>
            <family val="3"/>
          </rPr>
          <t xml:space="preserve"> ╤ </t>
        </r>
        <r>
          <rPr>
            <sz val="9"/>
            <color indexed="12"/>
            <rFont val="Tahoma"/>
            <family val="2"/>
          </rPr>
          <t>=zeta_TgrenTilluft_Gjennom</t>
        </r>
        <r>
          <rPr>
            <sz val="9"/>
            <color indexed="81"/>
            <rFont val="Tahoma"/>
            <family val="2"/>
          </rPr>
          <t xml:space="preserve">(Luftmengdebrøk, Diameterbrøk_over_avgrening) *
</t>
        </r>
        <r>
          <rPr>
            <sz val="9"/>
            <color indexed="81"/>
            <rFont val="Courier New"/>
            <family val="3"/>
          </rPr>
          <t xml:space="preserve"> ╦ </t>
        </r>
        <r>
          <rPr>
            <sz val="9"/>
            <color indexed="12"/>
            <rFont val="Tahoma"/>
            <family val="2"/>
          </rPr>
          <t>=zeta_TgrenTilluft_tilGren</t>
        </r>
        <r>
          <rPr>
            <sz val="9"/>
            <color indexed="81"/>
            <rFont val="Tahoma"/>
            <family val="2"/>
          </rPr>
          <t xml:space="preserve">(Luftmengdebrøk, Diameterbrøk_over_avgrening) *
</t>
        </r>
        <r>
          <rPr>
            <sz val="9"/>
            <color indexed="81"/>
            <rFont val="Courier New"/>
            <family val="3"/>
          </rPr>
          <t xml:space="preserve"> ╡ </t>
        </r>
        <r>
          <rPr>
            <sz val="9"/>
            <color indexed="12"/>
            <rFont val="Tahoma"/>
            <family val="2"/>
          </rPr>
          <t>=zeta_TgrenTilluft_fraGren</t>
        </r>
        <r>
          <rPr>
            <sz val="9"/>
            <color indexed="81"/>
            <rFont val="Tahoma"/>
            <family val="2"/>
          </rPr>
          <t xml:space="preserve">(Luftmengdebrøk, Diameterbrøk_over_rett) *
</t>
        </r>
        <r>
          <rPr>
            <sz val="9"/>
            <color indexed="81"/>
            <rFont val="Courier New"/>
            <family val="3"/>
          </rPr>
          <t xml:space="preserve"> ╤ </t>
        </r>
        <r>
          <rPr>
            <sz val="9"/>
            <color indexed="12"/>
            <rFont val="Tahoma"/>
            <family val="2"/>
          </rPr>
          <t>=zeta_TgrenAvtrekk_Gjennom</t>
        </r>
        <r>
          <rPr>
            <sz val="9"/>
            <color indexed="81"/>
            <rFont val="Tahoma"/>
            <family val="2"/>
          </rPr>
          <t xml:space="preserve">(Luftmengdebrøk, Diameterbrøk_over_rett) *
</t>
        </r>
        <r>
          <rPr>
            <sz val="9"/>
            <color indexed="81"/>
            <rFont val="Courier New"/>
            <family val="3"/>
          </rPr>
          <t xml:space="preserve"> ╦ </t>
        </r>
        <r>
          <rPr>
            <sz val="9"/>
            <color indexed="12"/>
            <rFont val="Tahoma"/>
            <family val="2"/>
          </rPr>
          <t>=zeta_TgrenAvtrekk_fraGren</t>
        </r>
        <r>
          <rPr>
            <sz val="9"/>
            <color indexed="81"/>
            <rFont val="Tahoma"/>
            <family val="2"/>
          </rPr>
          <t xml:space="preserve">(Luftmengdebrøk, Diameterbrøk_over_gjennomstrøm) *
</t>
        </r>
        <r>
          <rPr>
            <sz val="9"/>
            <color indexed="81"/>
            <rFont val="Courier New"/>
            <family val="3"/>
          </rPr>
          <t xml:space="preserve"> ╞ </t>
        </r>
        <r>
          <rPr>
            <sz val="9"/>
            <color indexed="12"/>
            <rFont val="Tahoma"/>
            <family val="2"/>
          </rPr>
          <t>=zeta_TgrenAvtrekk_tilGren</t>
        </r>
        <r>
          <rPr>
            <sz val="9"/>
            <color indexed="81"/>
            <rFont val="Tahoma"/>
            <family val="2"/>
          </rPr>
          <t xml:space="preserve">(Luftmengdebrøk, Diameterbrøk_over_gjennomstrøm) *
</t>
        </r>
        <r>
          <rPr>
            <sz val="9"/>
            <color indexed="81"/>
            <rFont val="Courier New"/>
            <family val="3"/>
          </rPr>
          <t xml:space="preserve">═─ </t>
        </r>
        <r>
          <rPr>
            <sz val="9"/>
            <color indexed="12"/>
            <rFont val="Tahoma"/>
            <family val="2"/>
          </rPr>
          <t>=zeta_Reduksjon18grader_litenKanal</t>
        </r>
        <r>
          <rPr>
            <sz val="9"/>
            <color indexed="81"/>
            <rFont val="Tahoma"/>
            <family val="2"/>
          </rPr>
          <t xml:space="preserve">(stor_diameter_mm, liten_diameter_mm, luftmengde_m3h)
</t>
        </r>
        <r>
          <rPr>
            <sz val="9"/>
            <color indexed="81"/>
            <rFont val="Courier New"/>
            <family val="3"/>
          </rPr>
          <t xml:space="preserve">═─ </t>
        </r>
        <r>
          <rPr>
            <sz val="9"/>
            <color indexed="12"/>
            <rFont val="Tahoma"/>
            <family val="2"/>
          </rPr>
          <t>=zeta_Reduksjon45grader_litenKanal</t>
        </r>
        <r>
          <rPr>
            <sz val="9"/>
            <color indexed="81"/>
            <rFont val="Tahoma"/>
            <family val="2"/>
          </rPr>
          <t xml:space="preserve">(stor_diameter_mm, liten_diameter_mm, luftmengde_m3h)
</t>
        </r>
        <r>
          <rPr>
            <sz val="9"/>
            <color indexed="81"/>
            <rFont val="Courier New"/>
            <family val="3"/>
          </rPr>
          <t xml:space="preserve">─═ </t>
        </r>
        <r>
          <rPr>
            <sz val="9"/>
            <color indexed="12"/>
            <rFont val="Tahoma"/>
            <family val="2"/>
          </rPr>
          <t>=zeta_Ekspansjon18grader_litenKanal</t>
        </r>
        <r>
          <rPr>
            <sz val="9"/>
            <color indexed="81"/>
            <rFont val="Tahoma"/>
            <family val="2"/>
          </rPr>
          <t xml:space="preserve">(stor_diameter_mm, liten_diameter_mm, luftmengde_m3h)
</t>
        </r>
        <r>
          <rPr>
            <sz val="9"/>
            <color indexed="81"/>
            <rFont val="Courier New"/>
            <family val="3"/>
          </rPr>
          <t xml:space="preserve">─═ </t>
        </r>
        <r>
          <rPr>
            <sz val="9"/>
            <color indexed="12"/>
            <rFont val="Tahoma"/>
            <family val="2"/>
          </rPr>
          <t>=zeta_Ekspansjon45grader_litenKanal</t>
        </r>
        <r>
          <rPr>
            <sz val="9"/>
            <color indexed="81"/>
            <rFont val="Tahoma"/>
            <family val="2"/>
          </rPr>
          <t xml:space="preserve">(stor_diameter_mm, liten_diameter_mm, luftmengde_m3h)
</t>
        </r>
        <r>
          <rPr>
            <sz val="9"/>
            <color indexed="81"/>
            <rFont val="Courier New"/>
            <family val="3"/>
          </rPr>
          <t xml:space="preserve"> ┐ </t>
        </r>
        <r>
          <rPr>
            <sz val="9"/>
            <color indexed="12"/>
            <rFont val="Tahoma"/>
            <family val="2"/>
          </rPr>
          <t>=zeta_Bend90grader_kort</t>
        </r>
        <r>
          <rPr>
            <sz val="9"/>
            <color indexed="81"/>
            <rFont val="Tahoma"/>
            <family val="2"/>
          </rPr>
          <t>(diameter_mm, luftmengde_m3h)</t>
        </r>
        <r>
          <rPr>
            <sz val="9"/>
            <color indexed="81"/>
            <rFont val="Courier New"/>
            <family val="3"/>
          </rPr>
          <t xml:space="preserve">
 ╗ </t>
        </r>
        <r>
          <rPr>
            <sz val="9"/>
            <color indexed="12"/>
            <rFont val="Tahoma"/>
            <family val="2"/>
          </rPr>
          <t>=zeta_Bend90grader_vanlig</t>
        </r>
        <r>
          <rPr>
            <sz val="9"/>
            <color indexed="81"/>
            <rFont val="Tahoma"/>
            <family val="2"/>
          </rPr>
          <t xml:space="preserve">(diameter_mm, luftmengde_m3h)
</t>
        </r>
        <r>
          <rPr>
            <sz val="9"/>
            <color indexed="81"/>
            <rFont val="Courier New"/>
            <family val="3"/>
          </rPr>
          <t xml:space="preserve"> ╗ </t>
        </r>
        <r>
          <rPr>
            <sz val="9"/>
            <color indexed="12"/>
            <rFont val="Tahoma"/>
            <family val="2"/>
          </rPr>
          <t>=zeta_Bend90grader_lang</t>
        </r>
        <r>
          <rPr>
            <sz val="9"/>
            <color indexed="81"/>
            <rFont val="Tahoma"/>
            <family val="2"/>
          </rPr>
          <t>(diameter_mm, luftmengde_m3h)
* T-gren skal plasseres i en av de to delstrøm-kanalstrekk, aldri i kanalen med kombinert-strømmen.
   Se bruksanvisningen for mer info.</t>
        </r>
      </text>
    </comment>
    <comment ref="H2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K-faktor for en ventil eller kanalkomponent.
I motsetning til støttapskoeffisienter og spesifisert trykkfall, kan ikke k-faktorer
summeres når du har flere kanalkomponenter.
</t>
        </r>
        <r>
          <rPr>
            <sz val="9"/>
            <color indexed="81"/>
            <rFont val="Tahoma"/>
            <family val="2"/>
          </rPr>
          <t xml:space="preserve">Trykkfall pga. komponenter </t>
        </r>
        <r>
          <rPr>
            <sz val="9"/>
            <color indexed="10"/>
            <rFont val="Tahoma"/>
            <family val="2"/>
          </rPr>
          <t xml:space="preserve">[Pa] </t>
        </r>
        <r>
          <rPr>
            <sz val="9"/>
            <color indexed="81"/>
            <rFont val="Tahoma"/>
            <family val="2"/>
          </rPr>
          <t>=</t>
        </r>
        <r>
          <rPr>
            <sz val="9"/>
            <color indexed="10"/>
            <rFont val="Tahoma"/>
            <family val="2"/>
          </rPr>
          <t xml:space="preserve"> (Q/k)²</t>
        </r>
        <r>
          <rPr>
            <sz val="9"/>
            <color indexed="81"/>
            <rFont val="Tahoma"/>
            <family val="2"/>
          </rPr>
          <t xml:space="preserve">
hvor </t>
        </r>
        <r>
          <rPr>
            <sz val="9"/>
            <color indexed="10"/>
            <rFont val="Tahoma"/>
            <family val="2"/>
          </rPr>
          <t>Q</t>
        </r>
        <r>
          <rPr>
            <sz val="9"/>
            <color indexed="81"/>
            <rFont val="Tahoma"/>
            <family val="2"/>
          </rPr>
          <t xml:space="preserve"> = luftmengde [ℓ/s], og </t>
        </r>
        <r>
          <rPr>
            <sz val="9"/>
            <color indexed="10"/>
            <rFont val="Tahoma"/>
            <family val="2"/>
          </rPr>
          <t>k</t>
        </r>
        <r>
          <rPr>
            <sz val="9"/>
            <color indexed="81"/>
            <rFont val="Tahoma"/>
            <family val="2"/>
          </rPr>
          <t xml:space="preserve"> = k-faktor [ℓ/s].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Denne kolonnen er opsjonell -- den kan stå tom hvis du heller vil spesifisere komponentene
som kjent trykkfall og/eller zeta-verider, eller hvis kanalstrekket ikke har komponenter trykkfall.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NB. Dette er k-faktoren for trykkfallet </t>
        </r>
        <r>
          <rPr>
            <u/>
            <sz val="9"/>
            <color indexed="81"/>
            <rFont val="Tahoma"/>
            <family val="2"/>
          </rPr>
          <t>over hele ventilen</t>
        </r>
        <r>
          <rPr>
            <sz val="9"/>
            <color indexed="81"/>
            <rFont val="Tahoma"/>
            <family val="2"/>
          </rPr>
          <t>. Noen ventiler har trykkuttak for
bruk avprodusenter oppgir k-faktorer for sine ventiler, slik at ventilene kan innjusteres ved
trykkmåling. I Mange tilfeller kan ikke disse k-faktorer brukes i dette regneark fordi de gjelder
trykkfall over. Tommelfingerregel: Hvis trykkuttaket har 2 slanger kan du ikke bruker
produsentens innregulerings k-faktor her. Hvis ventilen har bare én slange kan du bruke
produsentens innregulerings k-faktor her.</t>
        </r>
      </text>
    </comment>
    <comment ref="I2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Tilleggs trykkfall [Pa]</t>
        </r>
        <r>
          <rPr>
            <sz val="9"/>
            <color indexed="81"/>
            <rFont val="Tahoma"/>
            <family val="2"/>
          </rPr>
          <t xml:space="preserve">
Denne kolonnen er valgfri -- den skal vanligvis stå tom.
Det kan være aktuell å bruke denne kolonnen hvis du
f.eks. vil legge til et ekstra trykkfall for å representere
struping ved innregulering av spjeld/ventiler.</t>
        </r>
      </text>
    </comment>
    <comment ref="J2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Luftmengde i ventil [ℓ/s]
</t>
        </r>
        <r>
          <rPr>
            <sz val="9"/>
            <color indexed="12"/>
            <rFont val="Tahoma"/>
            <family val="2"/>
          </rPr>
          <t>Denne kolonnen beregnes automatisk av makroen
men bare for kanalstrekk med ventiler.</t>
        </r>
      </text>
    </comment>
    <comment ref="K2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 xml:space="preserve">Lufthastighet i kanalstrekket [m/s]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L2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 xml:space="preserve">Friksjonstap per meter kanal i kanalstrekket [Pa/m].
</t>
        </r>
        <r>
          <rPr>
            <sz val="9"/>
            <color indexed="81"/>
            <rFont val="Tahoma"/>
            <family val="2"/>
          </rPr>
          <t>Dette gjelder bare selve kanalen, ikke kanaldelene/komponentene.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M2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Trykkfall pga. støttap, beregnet ut i fra angitt zeta-verdi.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N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 xml:space="preserve">Trykkfall pga. støttap over ventil, beregnet ut i fra angitt k-faktor.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  <comment ref="O2" authorId="0" shapeId="0" xr:uid="{00000000-0006-0000-0000-000012000000}">
      <text>
        <r>
          <rPr>
            <b/>
            <sz val="9"/>
            <color indexed="81"/>
            <rFont val="Tahoma"/>
            <family val="2"/>
          </rPr>
          <t xml:space="preserve">Total trykkfall i kanalstrekket [Pa].
Dette er summen av:
</t>
        </r>
        <r>
          <rPr>
            <sz val="9"/>
            <color indexed="81"/>
            <rFont val="Tahoma"/>
            <family val="2"/>
          </rPr>
          <t>+ friskjonstap [Pa/m] kanallengde [m]
+ støttap beregnet ut i fra zeta-verdi [Pa]
+ støttap beregnet ut i fra k-zerdi [Pa]
+ kjent trykkfall [Pa]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12"/>
            <rFont val="Tahoma"/>
            <family val="2"/>
          </rPr>
          <t>Denne kolonnen beregnes av makroen.</t>
        </r>
      </text>
    </comment>
  </commentList>
</comments>
</file>

<file path=xl/sharedStrings.xml><?xml version="1.0" encoding="utf-8"?>
<sst xmlns="http://schemas.openxmlformats.org/spreadsheetml/2006/main" count="21" uniqueCount="21">
  <si>
    <t>Tast CTRL+B for å beregne</t>
  </si>
  <si>
    <t>Lengde [m]</t>
  </si>
  <si>
    <t>Luftmengde [m³/h]</t>
  </si>
  <si>
    <t>Hastighet [m/s]</t>
  </si>
  <si>
    <t>Støttapskoef. kanaldeler</t>
  </si>
  <si>
    <t>Støttap
[Pa]</t>
  </si>
  <si>
    <t>Friksjonstap
[Pa/m]</t>
  </si>
  <si>
    <t>Kanal strekk #</t>
  </si>
  <si>
    <t>Trykkfall over komponenter</t>
  </si>
  <si>
    <t>Luftmengde [ℓ/s]</t>
  </si>
  <si>
    <t>Kjent trykkfall [Pa]</t>
  </si>
  <si>
    <t>Kanaldimensjon</t>
  </si>
  <si>
    <r>
      <t>Bredde</t>
    </r>
    <r>
      <rPr>
        <sz val="10"/>
        <color indexed="48"/>
        <rFont val="Arial"/>
        <family val="2"/>
      </rPr>
      <t xml:space="preserve"> (Firkantet kanal) [mm]</t>
    </r>
  </si>
  <si>
    <r>
      <t>Høyde</t>
    </r>
    <r>
      <rPr>
        <sz val="10"/>
        <color indexed="48"/>
        <rFont val="Arial"/>
        <family val="2"/>
      </rPr>
      <t xml:space="preserve"> (Firkantet kanal) [mm]</t>
    </r>
  </si>
  <si>
    <r>
      <t>Diameter</t>
    </r>
    <r>
      <rPr>
        <sz val="10"/>
        <color indexed="48"/>
        <rFont val="Arial"/>
        <family val="2"/>
      </rPr>
      <t xml:space="preserve"> (Rund kanal) [mm]</t>
    </r>
  </si>
  <si>
    <t>Ventil
k-faktor [ℓ/s]</t>
  </si>
  <si>
    <t>Total Δp
[Pa]</t>
  </si>
  <si>
    <t>Ventil Δp
[Pa]</t>
  </si>
  <si>
    <t>1-2</t>
  </si>
  <si>
    <t>2-3</t>
  </si>
  <si>
    <t>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</si>
</sst>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8"/>
      <color indexed="12"/>
      <name val="Arial"/>
      <family val="2"/>
    </font>
    <font>
      <b/>
      <sz val="10"/>
      <color indexed="48"/>
      <name val="Arial"/>
      <family val="2"/>
    </font>
    <font>
      <b/>
      <sz val="10"/>
      <name val="Arial"/>
      <family val="2"/>
    </font>
    <font>
      <b/>
      <sz val="10"/>
      <color indexed="4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sz val="10"/>
      <name val="Arial"/>
      <family val="2"/>
    </font>
    <font>
      <b/>
      <sz val="18"/>
      <name val="Arial"/>
      <family val="2"/>
    </font>
    <font>
      <u/>
      <sz val="9"/>
      <color indexed="81"/>
      <name val="Tahoma"/>
      <family val="2"/>
    </font>
    <font>
      <sz val="9"/>
      <color indexed="10"/>
      <name val="Tahoma"/>
      <family val="2"/>
    </font>
    <font>
      <b/>
      <sz val="9"/>
      <color indexed="12"/>
      <name val="Tahoma"/>
      <family val="2"/>
    </font>
    <font>
      <sz val="9"/>
      <color indexed="12"/>
      <name val="Tahoma"/>
      <family val="2"/>
    </font>
    <font>
      <sz val="10"/>
      <color indexed="48"/>
      <name val="Arial"/>
      <family val="2"/>
    </font>
    <font>
      <sz val="9"/>
      <color indexed="8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 style="medium">
        <color indexed="9"/>
      </right>
      <top style="thin">
        <color indexed="22"/>
      </top>
      <bottom style="thin">
        <color indexed="22"/>
      </bottom>
      <diagonal/>
    </border>
    <border>
      <left style="medium">
        <color indexed="9"/>
      </left>
      <right style="thin">
        <color indexed="9"/>
      </right>
      <top style="thin">
        <color indexed="22"/>
      </top>
      <bottom style="thin">
        <color indexed="22"/>
      </bottom>
      <diagonal/>
    </border>
    <border>
      <left style="medium">
        <color indexed="9"/>
      </left>
      <right/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medium">
        <color indexed="9"/>
      </right>
      <top/>
      <bottom style="thin">
        <color indexed="22"/>
      </bottom>
      <diagonal/>
    </border>
    <border>
      <left style="medium">
        <color indexed="9"/>
      </left>
      <right/>
      <top/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medium">
        <color indexed="9"/>
      </right>
      <top/>
      <bottom style="thin">
        <color indexed="9"/>
      </bottom>
      <diagonal/>
    </border>
  </borders>
  <cellStyleXfs count="4">
    <xf numFmtId="0" fontId="0" fillId="2" borderId="0">
      <alignment vertical="center"/>
    </xf>
    <xf numFmtId="0" fontId="4" fillId="3" borderId="1" applyNumberFormat="0" applyFill="0" applyProtection="0">
      <alignment horizontal="right" vertical="center" wrapText="1"/>
      <protection locked="0"/>
    </xf>
    <xf numFmtId="0" fontId="3" fillId="2" borderId="0" applyNumberFormat="0" applyFill="0" applyBorder="0" applyAlignment="0" applyProtection="0"/>
    <xf numFmtId="0" fontId="1" fillId="3" borderId="2" applyNumberFormat="0" applyAlignment="0">
      <alignment horizontal="right" vertical="center"/>
      <protection locked="0"/>
    </xf>
  </cellStyleXfs>
  <cellXfs count="41">
    <xf numFmtId="0" fontId="0" fillId="2" borderId="0" xfId="0">
      <alignment vertical="center"/>
    </xf>
    <xf numFmtId="0" fontId="1" fillId="3" borderId="2" xfId="3">
      <alignment horizontal="right" vertical="center"/>
      <protection locked="0"/>
    </xf>
    <xf numFmtId="0" fontId="4" fillId="2" borderId="1" xfId="1" applyFont="1" applyFill="1" applyProtection="1">
      <alignment horizontal="right" vertical="center" wrapText="1"/>
    </xf>
    <xf numFmtId="0" fontId="3" fillId="2" borderId="0" xfId="2" applyFont="1" applyAlignment="1">
      <alignment vertical="center"/>
    </xf>
    <xf numFmtId="0" fontId="1" fillId="3" borderId="2" xfId="3" applyAlignment="1">
      <alignment vertical="center"/>
      <protection locked="0"/>
    </xf>
    <xf numFmtId="0" fontId="1" fillId="3" borderId="2" xfId="3" applyFont="1" applyAlignment="1">
      <alignment vertical="center"/>
      <protection locked="0"/>
    </xf>
    <xf numFmtId="164" fontId="4" fillId="2" borderId="3" xfId="1" applyNumberFormat="1" applyFont="1" applyFill="1" applyBorder="1" applyProtection="1">
      <alignment horizontal="right" vertical="center" wrapText="1"/>
    </xf>
    <xf numFmtId="164" fontId="6" fillId="2" borderId="4" xfId="1" applyNumberFormat="1" applyFont="1" applyFill="1" applyBorder="1" applyProtection="1">
      <alignment horizontal="right" vertical="center" wrapText="1"/>
    </xf>
    <xf numFmtId="164" fontId="0" fillId="2" borderId="5" xfId="0" applyNumberFormat="1" applyBorder="1">
      <alignment vertical="center"/>
    </xf>
    <xf numFmtId="164" fontId="5" fillId="2" borderId="5" xfId="0" applyNumberFormat="1" applyFont="1" applyBorder="1">
      <alignment vertical="center"/>
    </xf>
    <xf numFmtId="164" fontId="4" fillId="2" borderId="6" xfId="1" applyNumberFormat="1" applyFont="1" applyFill="1" applyBorder="1" applyProtection="1">
      <alignment horizontal="right" vertical="center" wrapText="1"/>
    </xf>
    <xf numFmtId="49" fontId="3" fillId="2" borderId="0" xfId="2" applyNumberFormat="1" applyFont="1" applyAlignment="1">
      <alignment vertical="center"/>
    </xf>
    <xf numFmtId="49" fontId="1" fillId="3" borderId="2" xfId="3" applyNumberFormat="1" applyAlignment="1">
      <alignment vertical="center"/>
      <protection locked="0"/>
    </xf>
    <xf numFmtId="49" fontId="4" fillId="2" borderId="1" xfId="1" applyNumberFormat="1" applyFont="1" applyFill="1" applyAlignment="1" applyProtection="1">
      <alignment horizontal="left" vertical="center" wrapText="1"/>
    </xf>
    <xf numFmtId="0" fontId="10" fillId="3" borderId="2" xfId="3" applyFont="1" applyAlignment="1">
      <alignment vertical="center"/>
      <protection locked="0"/>
    </xf>
    <xf numFmtId="0" fontId="4" fillId="2" borderId="7" xfId="1" applyFill="1" applyBorder="1" applyProtection="1">
      <alignment horizontal="right" vertical="center" wrapText="1"/>
    </xf>
    <xf numFmtId="0" fontId="4" fillId="2" borderId="8" xfId="1" applyFont="1" applyFill="1" applyBorder="1" applyProtection="1">
      <alignment horizontal="right" vertical="center" wrapText="1"/>
    </xf>
    <xf numFmtId="0" fontId="4" fillId="2" borderId="9" xfId="1" applyFill="1" applyBorder="1" applyProtection="1">
      <alignment horizontal="right" vertical="center" wrapText="1"/>
    </xf>
    <xf numFmtId="164" fontId="6" fillId="2" borderId="6" xfId="1" applyNumberFormat="1" applyFont="1" applyFill="1" applyBorder="1" applyProtection="1">
      <alignment horizontal="right" vertical="center" wrapText="1"/>
    </xf>
    <xf numFmtId="49" fontId="1" fillId="3" borderId="2" xfId="3" applyNumberFormat="1" applyFont="1" applyAlignment="1">
      <alignment vertical="center"/>
      <protection locked="0"/>
    </xf>
    <xf numFmtId="0" fontId="4" fillId="2" borderId="10" xfId="1" applyFont="1" applyFill="1" applyBorder="1" applyProtection="1">
      <alignment horizontal="right" vertical="center" wrapText="1"/>
    </xf>
    <xf numFmtId="0" fontId="4" fillId="2" borderId="1" xfId="1" applyFont="1" applyFill="1" applyBorder="1" applyProtection="1">
      <alignment horizontal="right" vertical="center" wrapText="1"/>
    </xf>
    <xf numFmtId="2" fontId="0" fillId="2" borderId="5" xfId="0" applyNumberFormat="1" applyBorder="1">
      <alignment vertical="center"/>
    </xf>
    <xf numFmtId="165" fontId="0" fillId="2" borderId="5" xfId="0" applyNumberFormat="1" applyBorder="1">
      <alignment vertical="center"/>
    </xf>
    <xf numFmtId="2" fontId="5" fillId="2" borderId="5" xfId="0" applyNumberFormat="1" applyFont="1" applyBorder="1">
      <alignment vertical="center"/>
    </xf>
    <xf numFmtId="2" fontId="1" fillId="3" borderId="2" xfId="3" applyNumberFormat="1" applyAlignment="1">
      <alignment vertical="center"/>
      <protection locked="0"/>
    </xf>
    <xf numFmtId="164" fontId="6" fillId="2" borderId="0" xfId="1" applyNumberFormat="1" applyFont="1" applyFill="1" applyBorder="1" applyProtection="1">
      <alignment horizontal="right" vertical="center" wrapText="1"/>
    </xf>
    <xf numFmtId="0" fontId="3" fillId="2" borderId="0" xfId="2" applyNumberFormat="1" applyFont="1" applyAlignment="1">
      <alignment vertical="center"/>
    </xf>
    <xf numFmtId="0" fontId="6" fillId="2" borderId="0" xfId="1" applyNumberFormat="1" applyFont="1" applyFill="1" applyBorder="1" applyProtection="1">
      <alignment horizontal="right" vertical="center" wrapText="1"/>
    </xf>
    <xf numFmtId="0" fontId="0" fillId="2" borderId="0" xfId="0" applyNumberFormat="1" applyBorder="1">
      <alignment vertical="center"/>
    </xf>
    <xf numFmtId="0" fontId="0" fillId="2" borderId="0" xfId="0" applyNumberFormat="1">
      <alignment vertical="center"/>
    </xf>
    <xf numFmtId="164" fontId="6" fillId="2" borderId="3" xfId="1" applyNumberFormat="1" applyFont="1" applyFill="1" applyBorder="1" applyProtection="1">
      <alignment horizontal="right" vertical="center" wrapText="1"/>
    </xf>
    <xf numFmtId="165" fontId="1" fillId="3" borderId="2" xfId="3" applyNumberFormat="1" applyFont="1" applyAlignment="1">
      <alignment vertical="center"/>
      <protection locked="0"/>
    </xf>
    <xf numFmtId="165" fontId="10" fillId="3" borderId="2" xfId="3" applyNumberFormat="1" applyFont="1" applyAlignment="1">
      <alignment vertical="center"/>
      <protection locked="0"/>
    </xf>
    <xf numFmtId="1" fontId="1" fillId="3" borderId="2" xfId="3" applyNumberFormat="1" applyFont="1" applyAlignment="1">
      <alignment vertical="center"/>
      <protection locked="0"/>
    </xf>
    <xf numFmtId="0" fontId="5" fillId="2" borderId="11" xfId="0" applyFont="1" applyBorder="1" applyAlignment="1">
      <alignment horizontal="center" vertical="center"/>
    </xf>
    <xf numFmtId="0" fontId="5" fillId="2" borderId="12" xfId="0" applyFont="1" applyBorder="1" applyAlignment="1">
      <alignment horizontal="center" vertical="center"/>
    </xf>
    <xf numFmtId="0" fontId="5" fillId="2" borderId="13" xfId="0" applyFont="1" applyBorder="1" applyAlignment="1">
      <alignment horizontal="center" vertical="center"/>
    </xf>
    <xf numFmtId="164" fontId="11" fillId="2" borderId="14" xfId="2" applyNumberFormat="1" applyFont="1" applyBorder="1" applyAlignment="1">
      <alignment horizontal="center" vertical="center"/>
    </xf>
    <xf numFmtId="164" fontId="11" fillId="2" borderId="15" xfId="2" applyNumberFormat="1" applyFont="1" applyBorder="1" applyAlignment="1">
      <alignment horizontal="center" vertical="center"/>
    </xf>
    <xf numFmtId="164" fontId="11" fillId="2" borderId="16" xfId="2" applyNumberFormat="1" applyFont="1" applyBorder="1" applyAlignment="1">
      <alignment horizontal="center" vertical="center"/>
    </xf>
  </cellXfs>
  <cellStyles count="4">
    <cellStyle name="Header2" xfId="1" xr:uid="{00000000-0005-0000-0000-000000000000}"/>
    <cellStyle name="Heading1" xfId="2" xr:uid="{00000000-0005-0000-0000-000001000000}"/>
    <cellStyle name="Input" xfId="3" builtinId="20" customBuiltin="1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00CC00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11"/>
    <outlinePr summaryBelow="0" summaryRight="0"/>
  </sheetPr>
  <dimension ref="A1:Y4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22" sqref="E22"/>
    </sheetView>
  </sheetViews>
  <sheetFormatPr defaultRowHeight="12.75" x14ac:dyDescent="0.2"/>
  <cols>
    <col min="1" max="1" width="7.85546875" style="12" bestFit="1" customWidth="1"/>
    <col min="2" max="4" width="11.7109375" style="4" customWidth="1"/>
    <col min="5" max="5" width="11.7109375" style="1" customWidth="1"/>
    <col min="6" max="6" width="7.85546875" style="1" bestFit="1" customWidth="1"/>
    <col min="7" max="7" width="12.42578125" style="4" customWidth="1"/>
    <col min="8" max="8" width="11.42578125" style="4" bestFit="1" customWidth="1"/>
    <col min="9" max="9" width="12.140625" style="4" customWidth="1"/>
    <col min="10" max="10" width="12" style="8" customWidth="1"/>
    <col min="11" max="11" width="9.42578125" style="8" bestFit="1" customWidth="1"/>
    <col min="12" max="12" width="11.5703125" style="8" customWidth="1"/>
    <col min="13" max="13" width="7.42578125" style="8" bestFit="1" customWidth="1"/>
    <col min="14" max="14" width="9.7109375" style="8" bestFit="1" customWidth="1"/>
    <col min="15" max="15" width="9" style="9" bestFit="1" customWidth="1"/>
    <col min="16" max="16" width="9.140625" style="30"/>
  </cols>
  <sheetData>
    <row r="1" spans="1:25" ht="23.25" customHeight="1" x14ac:dyDescent="0.2">
      <c r="A1" s="11"/>
      <c r="B1"/>
      <c r="C1" s="35" t="s">
        <v>11</v>
      </c>
      <c r="D1" s="36"/>
      <c r="E1" s="36"/>
      <c r="F1" s="37"/>
      <c r="G1" s="35" t="s">
        <v>8</v>
      </c>
      <c r="H1" s="36"/>
      <c r="I1" s="37"/>
      <c r="J1" s="38" t="s">
        <v>0</v>
      </c>
      <c r="K1" s="39"/>
      <c r="L1" s="39"/>
      <c r="M1" s="39"/>
      <c r="N1" s="39"/>
      <c r="O1" s="40"/>
      <c r="P1" s="27"/>
      <c r="Q1" s="3"/>
      <c r="R1" s="3"/>
      <c r="S1" s="3"/>
      <c r="T1" s="3"/>
      <c r="W1" s="3"/>
    </row>
    <row r="2" spans="1:25" ht="38.25" x14ac:dyDescent="0.2">
      <c r="A2" s="13" t="s">
        <v>7</v>
      </c>
      <c r="B2" s="15" t="s">
        <v>2</v>
      </c>
      <c r="C2" s="20" t="s">
        <v>12</v>
      </c>
      <c r="D2" s="21" t="s">
        <v>13</v>
      </c>
      <c r="E2" s="21" t="s">
        <v>14</v>
      </c>
      <c r="F2" s="17" t="s">
        <v>1</v>
      </c>
      <c r="G2" s="16" t="s">
        <v>4</v>
      </c>
      <c r="H2" s="2" t="s">
        <v>15</v>
      </c>
      <c r="I2" s="2" t="s">
        <v>10</v>
      </c>
      <c r="J2" s="10" t="s">
        <v>9</v>
      </c>
      <c r="K2" s="18" t="s">
        <v>3</v>
      </c>
      <c r="L2" s="6" t="s">
        <v>6</v>
      </c>
      <c r="M2" s="6" t="s">
        <v>5</v>
      </c>
      <c r="N2" s="31" t="s">
        <v>17</v>
      </c>
      <c r="O2" s="7" t="s">
        <v>16</v>
      </c>
      <c r="P2" s="28"/>
      <c r="Q2" s="26"/>
      <c r="R2" s="26"/>
      <c r="S2" s="26"/>
      <c r="T2" s="26"/>
      <c r="U2" s="26"/>
      <c r="V2" s="26"/>
      <c r="W2" s="26"/>
      <c r="X2" s="26"/>
      <c r="Y2" s="26"/>
    </row>
    <row r="3" spans="1:25" x14ac:dyDescent="0.2">
      <c r="A3" s="19" t="s">
        <v>18</v>
      </c>
      <c r="B3" s="5">
        <v>1403</v>
      </c>
      <c r="C3" s="34"/>
      <c r="E3" s="1">
        <v>315</v>
      </c>
      <c r="F3" s="1">
        <v>1</v>
      </c>
      <c r="G3" s="4">
        <f>zeta_Bend90grader_Vanlig(E3,B3)</f>
        <v>0.34315569347411318</v>
      </c>
      <c r="H3" s="5"/>
      <c r="I3" s="5"/>
      <c r="K3" s="23">
        <v>5.0008540669730266</v>
      </c>
      <c r="L3" s="23">
        <v>0.9746162192105301</v>
      </c>
      <c r="M3" s="22">
        <v>5.1490940199630266</v>
      </c>
      <c r="N3" s="22"/>
      <c r="O3" s="24">
        <v>6.1237102391735565</v>
      </c>
      <c r="P3" s="29"/>
      <c r="Q3" s="30"/>
      <c r="R3" s="30"/>
      <c r="S3" s="30"/>
      <c r="T3" s="30"/>
    </row>
    <row r="4" spans="1:25" x14ac:dyDescent="0.2">
      <c r="A4" s="19" t="s">
        <v>19</v>
      </c>
      <c r="B4" s="5">
        <v>1403</v>
      </c>
      <c r="C4" s="34"/>
      <c r="E4" s="1">
        <v>315</v>
      </c>
      <c r="F4" s="1">
        <v>1</v>
      </c>
      <c r="H4" s="5"/>
      <c r="I4" s="5"/>
      <c r="K4" s="23">
        <v>5.0008540669730266</v>
      </c>
      <c r="L4" s="23">
        <v>0.9746162192105301</v>
      </c>
      <c r="M4" s="22"/>
      <c r="N4" s="22"/>
      <c r="O4" s="24">
        <v>0.9746162192105301</v>
      </c>
      <c r="Q4" s="30"/>
      <c r="R4" s="30"/>
      <c r="S4" s="30"/>
      <c r="T4" s="30"/>
    </row>
    <row r="5" spans="1:25" x14ac:dyDescent="0.2">
      <c r="A5" s="19" t="s">
        <v>20</v>
      </c>
      <c r="B5" s="5">
        <v>1403</v>
      </c>
      <c r="C5" s="34"/>
      <c r="E5" s="1">
        <v>315</v>
      </c>
      <c r="F5" s="1">
        <v>1</v>
      </c>
      <c r="H5" s="5"/>
      <c r="I5" s="5"/>
      <c r="K5" s="23">
        <v>5.0008540669730266</v>
      </c>
      <c r="L5" s="23">
        <v>0.9746162192105301</v>
      </c>
      <c r="M5" s="22"/>
      <c r="N5" s="22"/>
      <c r="O5" s="24">
        <v>0.9746162192105301</v>
      </c>
      <c r="Q5" s="30"/>
      <c r="R5" s="30"/>
      <c r="S5" s="30"/>
      <c r="T5" s="30"/>
    </row>
    <row r="6" spans="1:25" x14ac:dyDescent="0.2">
      <c r="A6" s="19"/>
      <c r="B6" s="5"/>
      <c r="C6" s="34"/>
      <c r="G6" s="14"/>
      <c r="H6" s="5"/>
      <c r="I6" s="5"/>
      <c r="K6" s="23"/>
      <c r="L6" s="23"/>
      <c r="M6" s="22"/>
      <c r="N6" s="22"/>
      <c r="O6" s="24"/>
      <c r="Q6" s="29"/>
      <c r="R6" s="30"/>
      <c r="S6" s="30"/>
      <c r="T6" s="30"/>
    </row>
    <row r="7" spans="1:25" x14ac:dyDescent="0.2">
      <c r="A7" s="19"/>
      <c r="B7" s="5"/>
      <c r="C7" s="34"/>
      <c r="G7" s="14"/>
      <c r="H7" s="5"/>
      <c r="I7" s="5"/>
      <c r="K7" s="23"/>
      <c r="L7" s="23"/>
      <c r="M7" s="22"/>
      <c r="N7" s="22"/>
      <c r="O7" s="24"/>
      <c r="P7" s="29"/>
      <c r="Q7" s="29"/>
      <c r="R7" s="30"/>
      <c r="S7" s="30"/>
      <c r="T7" s="30"/>
    </row>
    <row r="8" spans="1:25" x14ac:dyDescent="0.2">
      <c r="A8" s="19"/>
      <c r="B8" s="5"/>
      <c r="C8" s="34"/>
      <c r="G8" s="14"/>
      <c r="H8" s="5"/>
      <c r="I8" s="5"/>
      <c r="K8" s="23"/>
      <c r="L8" s="23"/>
      <c r="M8" s="22"/>
      <c r="N8" s="22"/>
      <c r="O8" s="24"/>
      <c r="P8" s="29"/>
      <c r="Q8" s="29"/>
      <c r="R8" s="30"/>
      <c r="S8" s="30"/>
      <c r="T8" s="30"/>
    </row>
    <row r="9" spans="1:25" x14ac:dyDescent="0.2">
      <c r="A9" s="19"/>
      <c r="B9" s="5"/>
      <c r="C9" s="34"/>
      <c r="G9" s="14"/>
      <c r="H9" s="5"/>
      <c r="I9" s="5"/>
      <c r="K9" s="23"/>
      <c r="L9" s="23"/>
      <c r="M9" s="22"/>
      <c r="N9" s="22"/>
      <c r="O9" s="24"/>
      <c r="P9" s="29"/>
      <c r="Q9" s="29"/>
      <c r="R9" s="30"/>
      <c r="S9" s="30"/>
      <c r="T9" s="30"/>
    </row>
    <row r="10" spans="1:25" x14ac:dyDescent="0.2">
      <c r="A10" s="19"/>
      <c r="B10" s="5"/>
      <c r="C10" s="34"/>
      <c r="D10" s="5"/>
      <c r="G10" s="14"/>
      <c r="H10" s="5"/>
      <c r="I10" s="5"/>
      <c r="K10" s="23"/>
      <c r="L10" s="23"/>
      <c r="M10" s="22"/>
      <c r="N10" s="22"/>
      <c r="O10" s="24"/>
      <c r="P10" s="29"/>
      <c r="Q10" s="29"/>
      <c r="R10" s="30"/>
      <c r="S10" s="30"/>
      <c r="T10" s="30"/>
    </row>
    <row r="11" spans="1:25" x14ac:dyDescent="0.2">
      <c r="A11" s="19"/>
      <c r="B11" s="5"/>
      <c r="C11" s="34"/>
      <c r="D11" s="5"/>
      <c r="G11" s="14"/>
      <c r="H11" s="5"/>
      <c r="I11" s="5"/>
      <c r="K11" s="23"/>
      <c r="L11" s="23"/>
      <c r="M11" s="22"/>
      <c r="N11" s="22"/>
      <c r="O11" s="24"/>
      <c r="P11" s="29"/>
      <c r="Q11" s="29"/>
      <c r="R11" s="30"/>
      <c r="S11" s="30"/>
      <c r="T11" s="30"/>
    </row>
    <row r="12" spans="1:25" x14ac:dyDescent="0.2">
      <c r="A12" s="19"/>
      <c r="B12" s="5"/>
      <c r="C12" s="34"/>
      <c r="G12" s="14"/>
      <c r="H12" s="5"/>
      <c r="I12" s="5"/>
      <c r="K12" s="23"/>
      <c r="L12" s="23"/>
      <c r="M12" s="22"/>
      <c r="N12" s="22"/>
      <c r="O12" s="24"/>
      <c r="P12" s="29"/>
      <c r="Q12" s="29"/>
      <c r="R12" s="30"/>
      <c r="S12" s="30"/>
      <c r="T12" s="30"/>
    </row>
    <row r="13" spans="1:25" x14ac:dyDescent="0.2">
      <c r="A13" s="19"/>
      <c r="B13" s="5"/>
      <c r="C13" s="34"/>
      <c r="G13" s="14"/>
      <c r="H13" s="5"/>
      <c r="I13" s="5"/>
      <c r="K13" s="23"/>
      <c r="L13" s="23"/>
      <c r="M13" s="22"/>
      <c r="N13" s="22"/>
      <c r="O13" s="24"/>
      <c r="P13" s="29"/>
      <c r="Q13" s="29"/>
      <c r="R13" s="30"/>
      <c r="S13" s="30"/>
      <c r="T13" s="30"/>
    </row>
    <row r="14" spans="1:25" x14ac:dyDescent="0.2">
      <c r="A14" s="19"/>
      <c r="B14" s="5"/>
      <c r="C14" s="34"/>
      <c r="G14" s="14"/>
      <c r="H14" s="5"/>
      <c r="I14" s="5"/>
      <c r="K14" s="23"/>
      <c r="L14" s="23"/>
      <c r="M14" s="22"/>
      <c r="N14" s="22"/>
      <c r="O14" s="24"/>
      <c r="P14" s="29"/>
      <c r="Q14" s="29"/>
      <c r="R14" s="30"/>
      <c r="S14" s="30"/>
      <c r="T14" s="30"/>
    </row>
    <row r="15" spans="1:25" x14ac:dyDescent="0.2">
      <c r="A15" s="19"/>
      <c r="B15" s="5"/>
      <c r="C15" s="34"/>
      <c r="G15" s="14"/>
      <c r="H15" s="5"/>
      <c r="I15" s="5"/>
      <c r="K15" s="23"/>
      <c r="L15" s="23"/>
      <c r="M15" s="22"/>
      <c r="N15" s="22"/>
      <c r="O15" s="24"/>
      <c r="P15" s="29"/>
      <c r="Q15" s="29"/>
      <c r="R15" s="30"/>
      <c r="S15" s="30"/>
      <c r="T15" s="30"/>
    </row>
    <row r="16" spans="1:25" x14ac:dyDescent="0.2">
      <c r="A16" s="19"/>
      <c r="B16" s="5"/>
      <c r="C16" s="34"/>
      <c r="G16" s="14"/>
      <c r="H16" s="5"/>
      <c r="I16" s="5"/>
      <c r="K16" s="23"/>
      <c r="L16" s="23"/>
      <c r="M16" s="22"/>
      <c r="N16" s="22"/>
      <c r="O16" s="24"/>
      <c r="P16" s="29"/>
      <c r="Q16" s="29"/>
      <c r="R16" s="30"/>
      <c r="S16" s="30"/>
      <c r="T16" s="30"/>
    </row>
    <row r="17" spans="1:20" x14ac:dyDescent="0.2">
      <c r="A17" s="19"/>
      <c r="B17" s="5"/>
      <c r="C17" s="34"/>
      <c r="G17" s="14"/>
      <c r="H17" s="5"/>
      <c r="I17" s="5"/>
      <c r="K17" s="23"/>
      <c r="L17" s="23"/>
      <c r="M17" s="22"/>
      <c r="N17" s="22"/>
      <c r="O17" s="24"/>
      <c r="P17" s="29"/>
      <c r="Q17" s="29"/>
      <c r="R17" s="30"/>
      <c r="S17" s="30"/>
      <c r="T17" s="30"/>
    </row>
    <row r="18" spans="1:20" x14ac:dyDescent="0.2">
      <c r="A18" s="19"/>
      <c r="B18" s="5"/>
      <c r="C18" s="34"/>
      <c r="G18" s="14"/>
      <c r="H18" s="5"/>
      <c r="I18" s="5"/>
      <c r="K18" s="23"/>
      <c r="L18" s="23"/>
      <c r="M18" s="22"/>
      <c r="N18" s="22"/>
      <c r="O18" s="24"/>
      <c r="P18" s="29"/>
      <c r="Q18" s="29"/>
      <c r="R18" s="30"/>
      <c r="S18" s="30"/>
      <c r="T18" s="30"/>
    </row>
    <row r="19" spans="1:20" x14ac:dyDescent="0.2">
      <c r="A19" s="19"/>
      <c r="B19" s="5"/>
      <c r="C19" s="34"/>
      <c r="G19" s="14"/>
      <c r="H19" s="5"/>
      <c r="I19" s="5"/>
      <c r="K19" s="23"/>
      <c r="L19" s="23"/>
      <c r="M19" s="22"/>
      <c r="N19" s="22"/>
      <c r="O19" s="24"/>
      <c r="P19" s="29"/>
      <c r="Q19" s="29"/>
      <c r="R19" s="30"/>
      <c r="S19" s="30"/>
      <c r="T19" s="30"/>
    </row>
    <row r="20" spans="1:20" x14ac:dyDescent="0.2">
      <c r="A20" s="19"/>
      <c r="B20" s="5"/>
      <c r="C20" s="34"/>
      <c r="G20" s="14"/>
      <c r="H20" s="5"/>
      <c r="I20" s="5"/>
      <c r="K20" s="23"/>
      <c r="L20" s="23"/>
      <c r="M20" s="22"/>
      <c r="N20" s="22"/>
      <c r="O20" s="24"/>
      <c r="P20" s="29"/>
      <c r="Q20" s="29"/>
      <c r="R20" s="30"/>
      <c r="S20" s="30"/>
      <c r="T20" s="30"/>
    </row>
    <row r="21" spans="1:20" x14ac:dyDescent="0.2">
      <c r="A21" s="19"/>
      <c r="B21" s="5"/>
      <c r="C21" s="34"/>
      <c r="D21" s="5"/>
      <c r="G21" s="14"/>
      <c r="H21" s="5"/>
      <c r="I21" s="5"/>
      <c r="K21" s="23"/>
      <c r="L21" s="23"/>
      <c r="M21" s="22"/>
      <c r="N21" s="22"/>
      <c r="O21" s="24"/>
      <c r="P21" s="29"/>
      <c r="Q21" s="29"/>
      <c r="R21" s="30"/>
      <c r="S21" s="30"/>
      <c r="T21" s="30"/>
    </row>
    <row r="22" spans="1:20" x14ac:dyDescent="0.2">
      <c r="A22" s="19"/>
      <c r="B22" s="5"/>
      <c r="C22" s="34"/>
      <c r="D22" s="5"/>
      <c r="G22" s="14"/>
      <c r="H22" s="5"/>
      <c r="I22" s="25"/>
      <c r="K22" s="23"/>
      <c r="L22" s="23"/>
      <c r="M22" s="22"/>
      <c r="N22" s="22"/>
      <c r="O22" s="24"/>
      <c r="P22" s="29"/>
      <c r="Q22" s="29"/>
      <c r="R22" s="30"/>
      <c r="S22" s="30"/>
      <c r="T22" s="30"/>
    </row>
    <row r="23" spans="1:20" x14ac:dyDescent="0.2">
      <c r="B23" s="5"/>
      <c r="C23" s="5"/>
      <c r="D23" s="5"/>
      <c r="G23" s="33"/>
      <c r="H23" s="32"/>
      <c r="I23" s="25"/>
      <c r="P23" s="29"/>
      <c r="Q23" s="29"/>
      <c r="R23" s="30"/>
      <c r="S23" s="30"/>
      <c r="T23" s="30"/>
    </row>
    <row r="24" spans="1:20" x14ac:dyDescent="0.2">
      <c r="P24" s="29"/>
      <c r="Q24" s="29"/>
      <c r="R24" s="30"/>
      <c r="S24" s="30"/>
      <c r="T24" s="30"/>
    </row>
    <row r="25" spans="1:20" x14ac:dyDescent="0.2">
      <c r="P25" s="29"/>
      <c r="Q25" s="29"/>
      <c r="R25" s="30"/>
      <c r="S25" s="30"/>
      <c r="T25" s="30"/>
    </row>
    <row r="26" spans="1:20" x14ac:dyDescent="0.2">
      <c r="P26" s="29"/>
      <c r="Q26" s="29"/>
      <c r="R26" s="30"/>
      <c r="S26" s="30"/>
      <c r="T26" s="30"/>
    </row>
    <row r="27" spans="1:20" x14ac:dyDescent="0.2">
      <c r="P27" s="29"/>
      <c r="Q27" s="29"/>
      <c r="R27" s="30"/>
      <c r="S27" s="30"/>
      <c r="T27" s="30"/>
    </row>
    <row r="28" spans="1:20" x14ac:dyDescent="0.2">
      <c r="P28" s="29"/>
      <c r="Q28" s="29"/>
      <c r="R28" s="30"/>
      <c r="S28" s="30"/>
      <c r="T28" s="30"/>
    </row>
    <row r="29" spans="1:20" x14ac:dyDescent="0.2">
      <c r="P29" s="29"/>
      <c r="Q29" s="29"/>
      <c r="R29" s="30"/>
      <c r="S29" s="30"/>
      <c r="T29" s="30"/>
    </row>
    <row r="30" spans="1:20" x14ac:dyDescent="0.2">
      <c r="P30" s="29"/>
      <c r="Q30" s="29"/>
      <c r="R30" s="30"/>
      <c r="S30" s="30"/>
      <c r="T30" s="30"/>
    </row>
    <row r="31" spans="1:20" x14ac:dyDescent="0.2">
      <c r="P31" s="29"/>
      <c r="Q31" s="29"/>
      <c r="R31" s="30"/>
      <c r="S31" s="30"/>
      <c r="T31" s="30"/>
    </row>
    <row r="32" spans="1:20" x14ac:dyDescent="0.2">
      <c r="P32" s="29"/>
      <c r="Q32" s="29"/>
      <c r="R32" s="30"/>
      <c r="S32" s="30"/>
      <c r="T32" s="30"/>
    </row>
    <row r="33" spans="16:20" x14ac:dyDescent="0.2">
      <c r="P33" s="29"/>
      <c r="Q33" s="30"/>
      <c r="R33" s="30"/>
      <c r="S33" s="30"/>
      <c r="T33" s="30"/>
    </row>
    <row r="34" spans="16:20" x14ac:dyDescent="0.2">
      <c r="Q34" s="29"/>
      <c r="R34" s="30"/>
      <c r="S34" s="30"/>
      <c r="T34" s="30"/>
    </row>
    <row r="35" spans="16:20" x14ac:dyDescent="0.2">
      <c r="P35" s="29"/>
      <c r="Q35" s="29"/>
      <c r="R35" s="30"/>
      <c r="S35" s="30"/>
      <c r="T35" s="30"/>
    </row>
    <row r="36" spans="16:20" x14ac:dyDescent="0.2">
      <c r="P36" s="29"/>
      <c r="Q36" s="29"/>
      <c r="R36" s="30"/>
      <c r="S36" s="30"/>
      <c r="T36" s="30"/>
    </row>
    <row r="37" spans="16:20" x14ac:dyDescent="0.2">
      <c r="P37" s="29"/>
      <c r="Q37" s="29"/>
      <c r="R37" s="30"/>
      <c r="S37" s="30"/>
      <c r="T37" s="30"/>
    </row>
    <row r="38" spans="16:20" x14ac:dyDescent="0.2">
      <c r="P38" s="29"/>
      <c r="Q38" s="29"/>
      <c r="R38" s="30"/>
      <c r="S38" s="30"/>
      <c r="T38" s="30"/>
    </row>
    <row r="39" spans="16:20" x14ac:dyDescent="0.2">
      <c r="P39" s="29"/>
      <c r="Q39" s="29"/>
      <c r="R39" s="30"/>
      <c r="S39" s="30"/>
      <c r="T39" s="30"/>
    </row>
    <row r="40" spans="16:20" x14ac:dyDescent="0.2">
      <c r="P40" s="29"/>
      <c r="Q40" s="29"/>
      <c r="R40" s="30"/>
      <c r="S40" s="30"/>
      <c r="T40" s="30"/>
    </row>
    <row r="41" spans="16:20" x14ac:dyDescent="0.2">
      <c r="P41" s="29"/>
      <c r="Q41" s="29"/>
      <c r="R41" s="30"/>
      <c r="S41" s="30"/>
      <c r="T41" s="30"/>
    </row>
    <row r="42" spans="16:20" x14ac:dyDescent="0.2">
      <c r="P42" s="29"/>
      <c r="Q42" s="29"/>
      <c r="R42" s="30"/>
      <c r="S42" s="30"/>
      <c r="T42" s="30"/>
    </row>
  </sheetData>
  <mergeCells count="3">
    <mergeCell ref="C1:F1"/>
    <mergeCell ref="J1:O1"/>
    <mergeCell ref="G1:I1"/>
  </mergeCells>
  <phoneticPr fontId="2" type="noConversion"/>
  <dataValidations count="1">
    <dataValidation type="list" allowBlank="1" showInputMessage="1" sqref="E3:E65536" xr:uid="{00000000-0002-0000-0000-000000000000}">
      <formula1>"80,100,125,160,200,250,315,400,500,630,800,1000,1250"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KanalKalk</vt:lpstr>
      <vt:lpstr>exh_design_ls</vt:lpstr>
      <vt:lpstr>exh_design_m3h</vt:lpstr>
      <vt:lpstr>exh_dia</vt:lpstr>
      <vt:lpstr>exh_dPa</vt:lpstr>
      <vt:lpstr>exh_height</vt:lpstr>
      <vt:lpstr>exh_Kfactor</vt:lpstr>
      <vt:lpstr>exh_len</vt:lpstr>
      <vt:lpstr>exh_paATD</vt:lpstr>
      <vt:lpstr>exh_papm</vt:lpstr>
      <vt:lpstr>exh_PaSpecified</vt:lpstr>
      <vt:lpstr>exh_paZeta</vt:lpstr>
      <vt:lpstr>exh_vel</vt:lpstr>
      <vt:lpstr>exh_Width</vt:lpstr>
      <vt:lpstr>exh_zeta</vt:lpstr>
    </vt:vector>
  </TitlesOfParts>
  <Company>SINTEF Byggforsk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KanalKalk</dc:title>
  <dc:subject>Beregning av trykkfall i ventilasjonskanaler</dc:subject>
  <dc:creator>Peter G. Schild</dc:creator>
  <cp:lastModifiedBy>Peter G. Schild</cp:lastModifiedBy>
  <cp:lastPrinted>2006-02-08T16:43:55Z</cp:lastPrinted>
  <dcterms:created xsi:type="dcterms:W3CDTF">2006-02-04T11:01:52Z</dcterms:created>
  <dcterms:modified xsi:type="dcterms:W3CDTF">2018-09-22T11:49:40Z</dcterms:modified>
</cp:coreProperties>
</file>